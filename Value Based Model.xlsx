
<file path=[Content_Types].xml><?xml version="1.0" encoding="utf-8"?>
<Types xmlns="http://schemas.openxmlformats.org/package/2006/content-types"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0730" windowHeight="11760"/>
  </bookViews>
  <sheets>
    <sheet name="Model - complete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/>
  <c r="B13" a="1"/>
  <c r="A12" a="1"/>
  <c r="A12" s="1"/>
  <c r="A13" a="1"/>
  <c r="A13" s="1"/>
  <c r="B13" l="1"/>
  <c r="F13" s="1"/>
  <c r="F14"/>
  <c r="F15"/>
  <c r="E15"/>
  <c r="D15"/>
  <c r="C15"/>
  <c r="B15"/>
  <c r="E14"/>
  <c r="D14"/>
  <c r="C14"/>
  <c r="B14"/>
  <c r="E13"/>
  <c r="D13"/>
  <c r="C13"/>
  <c r="A15"/>
  <c r="A14"/>
  <c r="E12"/>
  <c r="D12"/>
  <c r="C12"/>
  <c r="B12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 xmlns:xda="http://schemas.microsoft.com/office/spreadsheetml/2017/dynamicarray"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<sst xmlns="http://schemas.openxmlformats.org/spreadsheetml/2006/main" count="20" uniqueCount="16">
  <si>
    <t>Value</t>
  </si>
  <si>
    <t>Weight</t>
  </si>
  <si>
    <t>Cultural fit</t>
  </si>
  <si>
    <t>Benefits</t>
  </si>
  <si>
    <t>Salary</t>
  </si>
  <si>
    <t>Distance</t>
  </si>
  <si>
    <t>Total</t>
  </si>
  <si>
    <t>Company</t>
  </si>
  <si>
    <t>Cultural Fit</t>
  </si>
  <si>
    <t>Macrosoft</t>
  </si>
  <si>
    <t>ClinkedIn</t>
  </si>
  <si>
    <t>Subshack</t>
  </si>
  <si>
    <t>Options (Score 1-5) 1 = Worst / 5 = Best</t>
  </si>
  <si>
    <t>Transformation</t>
  </si>
  <si>
    <t>Information</t>
  </si>
  <si>
    <t>Presentation</t>
  </si>
</sst>
</file>

<file path=xl/styles.xml><?xml version="1.0" encoding="utf-8"?>
<styleSheet xmlns="http://schemas.openxmlformats.org/spreadsheetml/2006/main">
  <fonts count="2"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9" fontId="0" fillId="0" borderId="0" xfId="0" applyNumberFormat="1"/>
    <xf numFmtId="0" fontId="1" fillId="0" borderId="0" xfId="0" applyFont="1"/>
    <xf numFmtId="0" fontId="1" fillId="0" borderId="0" xfId="0" applyFont="1" applyAlignment="1">
      <alignment horizontal="right"/>
    </xf>
    <xf numFmtId="2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5">
    <dxf>
      <numFmt numFmtId="0" formatCode="General"/>
    </dxf>
    <dxf>
      <numFmt numFmtId="13" formatCode="0%"/>
    </dxf>
    <dxf>
      <numFmt numFmtId="13" formatCode="0%"/>
    </dxf>
    <dxf>
      <alignment horizontal="left" vertical="bottom" textRotation="0" wrapText="0" indent="0" relativeIndent="255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Results</a:t>
            </a:r>
          </a:p>
        </c:rich>
      </c:tx>
      <c:layout/>
      <c:spPr>
        <a:noFill/>
        <a:ln>
          <a:noFill/>
        </a:ln>
        <a:effectLst/>
      </c:spPr>
    </c:title>
    <c:plotArea>
      <c:layout/>
      <c:barChart>
        <c:barDir val="bar"/>
        <c:grouping val="stacked"/>
        <c:ser>
          <c:idx val="0"/>
          <c:order val="0"/>
          <c:tx>
            <c:strRef>
              <c:f>'Model - complete'!$B$12</c:f>
              <c:strCache>
                <c:ptCount val="1"/>
                <c:pt idx="0">
                  <c:v>Cultural Fit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cat>
            <c:strRef>
              <c:f>'Model - complete'!$A$13:$A$15</c:f>
              <c:strCache>
                <c:ptCount val="3"/>
                <c:pt idx="0">
                  <c:v>Macrosoft</c:v>
                </c:pt>
                <c:pt idx="1">
                  <c:v>ClinkedIn</c:v>
                </c:pt>
                <c:pt idx="2">
                  <c:v>Subshack</c:v>
                </c:pt>
              </c:strCache>
            </c:strRef>
          </c:cat>
          <c:val>
            <c:numRef>
              <c:f>'Model - complete'!$B$13:$B$15</c:f>
              <c:numCache>
                <c:formatCode>0.00</c:formatCode>
                <c:ptCount val="3"/>
                <c:pt idx="0">
                  <c:v>0.25</c:v>
                </c:pt>
                <c:pt idx="1">
                  <c:v>0.5</c:v>
                </c:pt>
                <c:pt idx="2">
                  <c:v>1.25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32D-4834-8D19-1F49FD58CC3A}"/>
            </c:ext>
          </c:extLst>
        </c:ser>
        <c:ser>
          <c:idx val="1"/>
          <c:order val="1"/>
          <c:tx>
            <c:strRef>
              <c:f>'Model - complete'!$C$12</c:f>
              <c:strCache>
                <c:ptCount val="1"/>
                <c:pt idx="0">
                  <c:v>Benefits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strRef>
              <c:f>'Model - complete'!$A$13:$A$15</c:f>
              <c:strCache>
                <c:ptCount val="3"/>
                <c:pt idx="0">
                  <c:v>Macrosoft</c:v>
                </c:pt>
                <c:pt idx="1">
                  <c:v>ClinkedIn</c:v>
                </c:pt>
                <c:pt idx="2">
                  <c:v>Subshack</c:v>
                </c:pt>
              </c:strCache>
            </c:strRef>
          </c:cat>
          <c:val>
            <c:numRef>
              <c:f>'Model - complete'!$C$13:$C$15</c:f>
              <c:numCache>
                <c:formatCode>0.00</c:formatCode>
                <c:ptCount val="3"/>
                <c:pt idx="0">
                  <c:v>1</c:v>
                </c:pt>
                <c:pt idx="1">
                  <c:v>0.75</c:v>
                </c:pt>
                <c:pt idx="2">
                  <c:v>0.75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B32D-4834-8D19-1F49FD58CC3A}"/>
            </c:ext>
          </c:extLst>
        </c:ser>
        <c:ser>
          <c:idx val="2"/>
          <c:order val="2"/>
          <c:tx>
            <c:strRef>
              <c:f>'Model - complete'!$D$12</c:f>
              <c:strCache>
                <c:ptCount val="1"/>
                <c:pt idx="0">
                  <c:v>Distance</c:v>
                </c:pt>
              </c:strCache>
            </c:strRef>
          </c:tx>
          <c:spPr>
            <a:solidFill>
              <a:schemeClr val="tx2">
                <a:lumMod val="25000"/>
                <a:lumOff val="75000"/>
              </a:schemeClr>
            </a:solidFill>
            <a:ln>
              <a:noFill/>
            </a:ln>
            <a:effectLst/>
          </c:spPr>
          <c:cat>
            <c:strRef>
              <c:f>'Model - complete'!$A$13:$A$15</c:f>
              <c:strCache>
                <c:ptCount val="3"/>
                <c:pt idx="0">
                  <c:v>Macrosoft</c:v>
                </c:pt>
                <c:pt idx="1">
                  <c:v>ClinkedIn</c:v>
                </c:pt>
                <c:pt idx="2">
                  <c:v>Subshack</c:v>
                </c:pt>
              </c:strCache>
            </c:strRef>
          </c:cat>
          <c:val>
            <c:numRef>
              <c:f>'Model - complete'!$D$13:$D$15</c:f>
              <c:numCache>
                <c:formatCode>0.00</c:formatCode>
                <c:ptCount val="3"/>
                <c:pt idx="0">
                  <c:v>0.25</c:v>
                </c:pt>
                <c:pt idx="1">
                  <c:v>0.75</c:v>
                </c:pt>
                <c:pt idx="2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32D-4834-8D19-1F49FD58CC3A}"/>
            </c:ext>
          </c:extLst>
        </c:ser>
        <c:ser>
          <c:idx val="3"/>
          <c:order val="3"/>
          <c:tx>
            <c:strRef>
              <c:f>'Model - complete'!$E$12</c:f>
              <c:strCache>
                <c:ptCount val="1"/>
                <c:pt idx="0">
                  <c:v>Salary</c:v>
                </c:pt>
              </c:strCache>
            </c:strRef>
          </c:tx>
          <c:spPr>
            <a:solidFill>
              <a:schemeClr val="tx2">
                <a:lumMod val="10000"/>
                <a:lumOff val="90000"/>
              </a:schemeClr>
            </a:solidFill>
            <a:ln>
              <a:noFill/>
            </a:ln>
            <a:effectLst/>
          </c:spPr>
          <c:cat>
            <c:strRef>
              <c:f>'Model - complete'!$A$13:$A$15</c:f>
              <c:strCache>
                <c:ptCount val="3"/>
                <c:pt idx="0">
                  <c:v>Macrosoft</c:v>
                </c:pt>
                <c:pt idx="1">
                  <c:v>ClinkedIn</c:v>
                </c:pt>
                <c:pt idx="2">
                  <c:v>Subshack</c:v>
                </c:pt>
              </c:strCache>
            </c:strRef>
          </c:cat>
          <c:val>
            <c:numRef>
              <c:f>'Model - complete'!$E$13:$E$15</c:f>
              <c:numCache>
                <c:formatCode>0.00</c:formatCode>
                <c:ptCount val="3"/>
                <c:pt idx="0">
                  <c:v>1.25</c:v>
                </c:pt>
                <c:pt idx="1">
                  <c:v>0.75</c:v>
                </c:pt>
                <c:pt idx="2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B32D-4834-8D19-1F49FD58CC3A}"/>
            </c:ext>
          </c:extLst>
        </c:ser>
        <c:overlap val="100"/>
        <c:axId val="86481152"/>
        <c:axId val="107245568"/>
      </c:barChart>
      <c:catAx>
        <c:axId val="86481152"/>
        <c:scaling>
          <c:orientation val="minMax"/>
        </c:scaling>
        <c:axPos val="l"/>
        <c:numFmt formatCode="General" sourceLinked="1"/>
        <c:maj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45568"/>
        <c:crosses val="autoZero"/>
        <c:auto val="1"/>
        <c:lblAlgn val="ctr"/>
        <c:lblOffset val="100"/>
      </c:catAx>
      <c:valAx>
        <c:axId val="107245568"/>
        <c:scaling>
          <c:orientation val="minMax"/>
        </c:scaling>
        <c:delete val="1"/>
        <c:axPos val="b"/>
        <c:numFmt formatCode="0.00" sourceLinked="1"/>
        <c:majorTickMark val="none"/>
        <c:tickLblPos val="nextTo"/>
        <c:crossAx val="86481152"/>
        <c:crosses val="autoZero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273843</xdr:colOff>
      <xdr:row>11</xdr:row>
      <xdr:rowOff>27214</xdr:rowOff>
    </xdr:from>
    <xdr:to>
      <xdr:col>13</xdr:col>
      <xdr:colOff>45243</xdr:colOff>
      <xdr:row>23</xdr:row>
      <xdr:rowOff>27213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4D69FB25-904D-A1CD-1DFB-816C26C899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Values_final" displayName="Values_final" ref="A2:B7" totalsRowCount="1" headerRowDxfId="4">
  <autoFilter ref="A2:B6"/>
  <tableColumns count="2">
    <tableColumn id="1" name="Value" totalsRowLabel="Total" totalsRowDxfId="3"/>
    <tableColumn id="2" name="Weight" totalsRowFunction="custom" dataDxfId="2" totalsRowDxfId="1">
      <totalsRowFormula>SUM([Weight])</totalsRowFormula>
    </tableColumn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Options_final" displayName="Options_final" ref="D2:H5" totalsRowShown="0">
  <autoFilter ref="D2:H5"/>
  <tableColumns count="5">
    <tableColumn id="1" name="Company"/>
    <tableColumn id="2" name="Cultural Fit" dataDxfId="0"/>
    <tableColumn id="3" name="Benefits"/>
    <tableColumn id="4" name="Distance"/>
    <tableColumn id="5" name="Salary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showGridLines="0" tabSelected="1" zoomScale="70" zoomScaleNormal="70" workbookViewId="0">
      <selection activeCell="D22" sqref="D22"/>
    </sheetView>
  </sheetViews>
  <sheetFormatPr defaultRowHeight="18"/>
  <cols>
    <col min="1" max="1" width="20.08984375" customWidth="1"/>
    <col min="2" max="2" width="11.54296875" customWidth="1"/>
    <col min="3" max="3" width="9.54296875" bestFit="1" customWidth="1"/>
    <col min="4" max="4" width="13.6328125" customWidth="1"/>
    <col min="5" max="5" width="16.1796875" customWidth="1"/>
    <col min="6" max="6" width="13.54296875" customWidth="1"/>
    <col min="7" max="7" width="10" customWidth="1"/>
  </cols>
  <sheetData>
    <row r="1" spans="1:9">
      <c r="A1" s="2" t="s">
        <v>14</v>
      </c>
      <c r="D1" s="2" t="s">
        <v>12</v>
      </c>
    </row>
    <row r="2" spans="1:9">
      <c r="A2" s="2" t="s">
        <v>0</v>
      </c>
      <c r="B2" s="2" t="s">
        <v>1</v>
      </c>
      <c r="D2" t="s">
        <v>7</v>
      </c>
      <c r="E2" t="s">
        <v>8</v>
      </c>
      <c r="F2" t="s">
        <v>3</v>
      </c>
      <c r="G2" t="s">
        <v>5</v>
      </c>
      <c r="H2" t="s">
        <v>4</v>
      </c>
    </row>
    <row r="3" spans="1:9">
      <c r="A3" t="s">
        <v>2</v>
      </c>
      <c r="B3" s="1">
        <v>0.25</v>
      </c>
      <c r="D3" t="s">
        <v>9</v>
      </c>
      <c r="E3">
        <v>1</v>
      </c>
      <c r="F3">
        <v>4</v>
      </c>
      <c r="G3">
        <v>1</v>
      </c>
      <c r="H3">
        <v>5</v>
      </c>
    </row>
    <row r="4" spans="1:9">
      <c r="A4" t="s">
        <v>3</v>
      </c>
      <c r="B4" s="1">
        <v>0.25</v>
      </c>
      <c r="D4" t="s">
        <v>10</v>
      </c>
      <c r="E4">
        <v>2</v>
      </c>
      <c r="F4">
        <v>3</v>
      </c>
      <c r="G4">
        <v>3</v>
      </c>
      <c r="H4">
        <v>3</v>
      </c>
    </row>
    <row r="5" spans="1:9">
      <c r="A5" t="s">
        <v>5</v>
      </c>
      <c r="B5" s="1">
        <v>0.25</v>
      </c>
      <c r="D5" t="s">
        <v>11</v>
      </c>
      <c r="E5">
        <v>5</v>
      </c>
      <c r="F5">
        <v>3</v>
      </c>
      <c r="G5">
        <v>4</v>
      </c>
      <c r="H5">
        <v>4</v>
      </c>
    </row>
    <row r="6" spans="1:9">
      <c r="A6" t="s">
        <v>4</v>
      </c>
      <c r="B6" s="1">
        <v>0.25</v>
      </c>
    </row>
    <row r="7" spans="1:9">
      <c r="A7" s="5" t="s">
        <v>6</v>
      </c>
      <c r="B7" s="1">
        <f>SUM([Weight])</f>
        <v>1</v>
      </c>
    </row>
    <row r="11" spans="1:9">
      <c r="A11" s="2" t="s">
        <v>13</v>
      </c>
      <c r="I11" s="2" t="s">
        <v>15</v>
      </c>
    </row>
    <row r="12" spans="1:9">
      <c r="A12" s="2" t="str" cm="1">
        <f t="array" ref="A12:E12">Options_final[#Headers]</f>
        <v>Company</v>
      </c>
      <c r="B12" s="3" t="str">
        <v>Cultural Fit</v>
      </c>
      <c r="C12" s="3" t="str">
        <v>Benefits</v>
      </c>
      <c r="D12" s="3" t="str">
        <v>Distance</v>
      </c>
      <c r="E12" s="3" t="str">
        <v>Salary</v>
      </c>
      <c r="F12" s="3" t="s">
        <v>6</v>
      </c>
    </row>
    <row r="13" spans="1:9">
      <c r="A13" t="str" cm="1">
        <f t="array" ref="A13:A15">Options_final[Company]</f>
        <v>Macrosoft</v>
      </c>
      <c r="B13" s="4" cm="1">
        <f t="array" ref="B13:E15" xml:space="preserve"> Options_final[[Cultural Fit]:[Salary]] * TRANSPOSE(Values_final[Weight])</f>
        <v>0.25</v>
      </c>
      <c r="C13" s="4">
        <v>1</v>
      </c>
      <c r="D13" s="4">
        <v>0.25</v>
      </c>
      <c r="E13" s="4">
        <v>1.25</v>
      </c>
      <c r="F13" s="4">
        <f>SUM(B13:E13)/5</f>
        <v>0.55000000000000004</v>
      </c>
    </row>
    <row r="14" spans="1:9">
      <c r="A14" t="str">
        <v>ClinkedIn</v>
      </c>
      <c r="B14" s="4">
        <v>0.5</v>
      </c>
      <c r="C14" s="4">
        <v>0.75</v>
      </c>
      <c r="D14" s="4">
        <v>0.75</v>
      </c>
      <c r="E14" s="4">
        <v>0.75</v>
      </c>
      <c r="F14" s="4">
        <f t="shared" ref="F14:F15" si="0">SUM(B14:E14)/5</f>
        <v>0.55000000000000004</v>
      </c>
    </row>
    <row r="15" spans="1:9">
      <c r="A15" t="str">
        <v>Subshack</v>
      </c>
      <c r="B15" s="4">
        <v>1.25</v>
      </c>
      <c r="C15" s="4">
        <v>0.75</v>
      </c>
      <c r="D15" s="4">
        <v>1</v>
      </c>
      <c r="E15" s="4">
        <v>1</v>
      </c>
      <c r="F15" s="4">
        <f t="shared" si="0"/>
        <v>0.8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CCF372E7552E46971BC669F8F62C55" ma:contentTypeVersion="10" ma:contentTypeDescription="Create a new document." ma:contentTypeScope="" ma:versionID="e310689e8bc50ce0f6bc9d9d50843920">
  <xsd:schema xmlns:xsd="http://www.w3.org/2001/XMLSchema" xmlns:xs="http://www.w3.org/2001/XMLSchema" xmlns:p="http://schemas.microsoft.com/office/2006/metadata/properties" xmlns:ns3="d0131723-90e4-4eb3-b198-35e2fc5c714a" targetNamespace="http://schemas.microsoft.com/office/2006/metadata/properties" ma:root="true" ma:fieldsID="42370d5105e671b62ea082c77db28bf6" ns3:_="">
    <xsd:import namespace="d0131723-90e4-4eb3-b198-35e2fc5c714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31723-90e4-4eb3-b198-35e2fc5c71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C66743-68AC-4A7F-A191-5BD5167F9EFB}">
  <ds:schemaRefs>
    <ds:schemaRef ds:uri="http://purl.org/dc/elements/1.1/"/>
    <ds:schemaRef ds:uri="d0131723-90e4-4eb3-b198-35e2fc5c714a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32ED09A-1135-42F7-B2A8-0F44B6F409B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DA9F0C5-9BB8-4F55-B2DA-CD32B7873E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131723-90e4-4eb3-b198-35e2fc5c71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 - complete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Copilot</dc:creator>
  <cp:lastModifiedBy>Akanksha Giri</cp:lastModifiedBy>
  <dcterms:created xsi:type="dcterms:W3CDTF">2024-04-08T10:48:17Z</dcterms:created>
  <dcterms:modified xsi:type="dcterms:W3CDTF">2026-02-12T12:04:02Z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0x01010073CCF372E7552E46971BC669F8F62C55</vt:lpwstr>
  </property>
</Properties>
</file>